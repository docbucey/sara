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mdbuc\Documents\coding projects\MODLES\NBS\nbs\Documentation\"/>
    </mc:Choice>
  </mc:AlternateContent>
  <xr:revisionPtr revIDLastSave="0" documentId="13_ncr:9_{9B6B1E8C-B441-49E4-B333-0C252566D8A4}" xr6:coauthVersionLast="47" xr6:coauthVersionMax="47" xr10:uidLastSave="{00000000-0000-0000-0000-000000000000}"/>
  <bookViews>
    <workbookView xWindow="390" yWindow="390" windowWidth="21600" windowHeight="11295" xr2:uid="{2D65225F-885D-4343-A1CA-F8BD3302B462}"/>
  </bookViews>
  <sheets>
    <sheet name="phase2_gate_checklist" sheetId="1" r:id="rId1"/>
  </sheets>
  <calcPr calcId="0" concurrentCalc="0"/>
</workbook>
</file>

<file path=xl/calcChain.xml><?xml version="1.0" encoding="utf-8"?>
<calcChain xmlns="http://schemas.openxmlformats.org/spreadsheetml/2006/main">
  <c r="G21" i="1" l="1"/>
  <c r="G20" i="1"/>
  <c r="G19" i="1"/>
  <c r="G18" i="1"/>
  <c r="D29" i="1" a="1"/>
  <c r="D29" i="1"/>
  <c r="C29" i="1" a="1"/>
  <c r="C29" i="1"/>
  <c r="B29" i="1" a="1"/>
  <c r="B29" i="1"/>
  <c r="A29" i="1" a="1"/>
  <c r="A29" i="1"/>
  <c r="D28" i="1" a="1"/>
  <c r="D28" i="1"/>
  <c r="C28" i="1" a="1"/>
  <c r="C28" i="1"/>
  <c r="B28" i="1" a="1"/>
  <c r="B28" i="1"/>
  <c r="A28" i="1" a="1"/>
  <c r="A28" i="1"/>
  <c r="D27" i="1" a="1"/>
  <c r="D27" i="1"/>
  <c r="C27" i="1" a="1"/>
  <c r="C27" i="1"/>
  <c r="B27" i="1" a="1"/>
  <c r="B27" i="1"/>
  <c r="A27" i="1" a="1"/>
  <c r="A27" i="1"/>
  <c r="D26" i="1" a="1"/>
  <c r="D26" i="1"/>
  <c r="C26" i="1" a="1"/>
  <c r="C26" i="1"/>
  <c r="B26" i="1" a="1"/>
  <c r="B26" i="1"/>
  <c r="A26" i="1" a="1"/>
  <c r="A26" i="1"/>
  <c r="D25" i="1" a="1"/>
  <c r="D25" i="1"/>
  <c r="C25" i="1" a="1"/>
  <c r="C25" i="1"/>
  <c r="B25" i="1" a="1"/>
  <c r="B25" i="1"/>
  <c r="A25" i="1" a="1"/>
  <c r="A25" i="1"/>
  <c r="D24" i="1" a="1"/>
  <c r="D24" i="1"/>
  <c r="C24" i="1" a="1"/>
  <c r="C24" i="1"/>
  <c r="B24" i="1" a="1"/>
  <c r="B24" i="1"/>
  <c r="A24" i="1" a="1"/>
  <c r="A24" i="1"/>
  <c r="D23" i="1" a="1"/>
  <c r="D23" i="1"/>
  <c r="C23" i="1" a="1"/>
  <c r="C23" i="1"/>
  <c r="B23" i="1" a="1"/>
  <c r="B23" i="1"/>
  <c r="A23" i="1" a="1"/>
  <c r="A23" i="1"/>
  <c r="D22" i="1" a="1"/>
  <c r="D22" i="1"/>
  <c r="C22" i="1" a="1"/>
  <c r="C22" i="1"/>
  <c r="B22" i="1" a="1"/>
  <c r="B22" i="1"/>
  <c r="A22" i="1" a="1"/>
  <c r="A22" i="1"/>
  <c r="D21" i="1" a="1"/>
  <c r="D21" i="1"/>
  <c r="C21" i="1" a="1"/>
  <c r="C21" i="1"/>
  <c r="B21" i="1" a="1"/>
  <c r="B21" i="1"/>
  <c r="A21" i="1" a="1"/>
  <c r="A21" i="1"/>
  <c r="D20" i="1" a="1"/>
  <c r="D20" i="1"/>
  <c r="C20" i="1" a="1"/>
  <c r="C20" i="1"/>
  <c r="B20" i="1" a="1"/>
  <c r="B20" i="1"/>
  <c r="A20" i="1" a="1"/>
  <c r="A20" i="1"/>
  <c r="D19" i="1" a="1"/>
  <c r="D19" i="1"/>
  <c r="C19" i="1" a="1"/>
  <c r="C19" i="1"/>
  <c r="B19" i="1" a="1"/>
  <c r="B19" i="1"/>
  <c r="A19" i="1" a="1"/>
  <c r="A19" i="1"/>
  <c r="D18" i="1" a="1"/>
  <c r="D18" i="1"/>
  <c r="C18" i="1" a="1"/>
  <c r="C18" i="1"/>
  <c r="B18" i="1" a="1"/>
  <c r="B18" i="1"/>
  <c r="A18" i="1" a="1"/>
  <c r="A18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I2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<sst xmlns="http://schemas.openxmlformats.org/spreadsheetml/2006/main" count="128" uniqueCount="89">
  <si>
    <t>gate_id</t>
  </si>
  <si>
    <t>gate_name</t>
  </si>
  <si>
    <t>status</t>
  </si>
  <si>
    <t>evidence_file</t>
  </si>
  <si>
    <t>evidence_note</t>
  </si>
  <si>
    <t>owner</t>
  </si>
  <si>
    <t>next_action</t>
  </si>
  <si>
    <t>P2-ENTRY-LOCK</t>
  </si>
  <si>
    <t>Phase1 gates verified</t>
  </si>
  <si>
    <t>Pending</t>
  </si>
  <si>
    <t>nbs/Documentation/initial_conditioning_specsheet_scan.txt</t>
  </si>
  <si>
    <t>Confirm all Phase1 exits are still valid</t>
  </si>
  <si>
    <t>Verify latest gate artifacts</t>
  </si>
  <si>
    <t>P2-ROUTE-INHERITANCE</t>
  </si>
  <si>
    <t>Frozen CONTROL-routed path enforced</t>
  </si>
  <si>
    <t>saragen0/SARA.Gen0.Client/SARAClient.cs</t>
  </si>
  <si>
    <t>Client route path is CONTROL-first</t>
  </si>
  <si>
    <t>Add final proof note</t>
  </si>
  <si>
    <t>P2-SECURITY-STATE-COVERAGE</t>
  </si>
  <si>
    <t>allow/deny/constrain/schema-fail represented</t>
  </si>
  <si>
    <t>In Progress</t>
  </si>
  <si>
    <t>saragen0/SARA.Gen0.UI/Phase2Personality.cs</t>
  </si>
  <si>
    <t>Persona state mapping added for outcomes</t>
  </si>
  <si>
    <t>Wire UI templates to all response views</t>
  </si>
  <si>
    <t>P2-NON-AUTH-PRESERVATION</t>
  </si>
  <si>
    <t>UI cannot mutate authority decisions</t>
  </si>
  <si>
    <t>Safety-state fallback keeps route/gate truth</t>
  </si>
  <si>
    <t>Add explicit non-authority banner in UI</t>
  </si>
  <si>
    <t>P2-PERSONA-EVOLUTION-SAFETY</t>
  </si>
  <si>
    <t>Persona inputs remain presentation-scoped</t>
  </si>
  <si>
    <t>nbs/Documentation/phase2_finish_off_plan.txt</t>
  </si>
  <si>
    <t>Spec-constrained target defined</t>
  </si>
  <si>
    <t>Implement preference persistence rules</t>
  </si>
  <si>
    <t>P2-ACCESSIBILITY-READABILITY</t>
  </si>
  <si>
    <t>Plain-language fallback and readability constraints</t>
  </si>
  <si>
    <t>Safety fallbacks produce guidance-first text</t>
  </si>
  <si>
    <t>Tune templates and run review</t>
  </si>
  <si>
    <t>P2-SYNTHETIC-CUSSING-SAFETY</t>
  </si>
  <si>
    <t>Synthetic phrasing bounded and safe</t>
  </si>
  <si>
    <t>No explicit bounded phrase list yet</t>
  </si>
  <si>
    <t>Add bounded phrase list and disable-in-safety rule</t>
  </si>
  <si>
    <t>P2-ARTIFACT-ALIGNMENT</t>
  </si>
  <si>
    <t>Frozen artifact set only</t>
  </si>
  <si>
    <t>nbs/Documentation/initial_conditioning_discovery.txt</t>
  </si>
  <si>
    <t>Post-phase lock documented</t>
  </si>
  <si>
    <t>Attach artifact verification evidence</t>
  </si>
  <si>
    <t>P2-CREATIVITY-BOUNDED-TESTABILITY</t>
  </si>
  <si>
    <t>Creativity default-off unless permitted</t>
  </si>
  <si>
    <t>Rule documented but not wired in UI</t>
  </si>
  <si>
    <t>Implement mode toggle with gate dependency</t>
  </si>
  <si>
    <t>P2-NON-AUTONOMY-ENFORCEMENT</t>
  </si>
  <si>
    <t>No autonomy-like behavior possible</t>
  </si>
  <si>
    <t>Constraint documented</t>
  </si>
  <si>
    <t>Add explicit UI policy statement</t>
  </si>
  <si>
    <t>P2-CREATIVITY-ROUTE-GATE-OSH-INTEGRITY</t>
  </si>
  <si>
    <t>Creativity remains routed/gated/OSH-safe</t>
  </si>
  <si>
    <t>nbs/Documentation/initial_conditioning_architecture_scan.txt</t>
  </si>
  <si>
    <t>Architecture path confirmed</t>
  </si>
  <si>
    <t>Link runtime evidence</t>
  </si>
  <si>
    <t>P2-CREATIVE-ADA-SAFETY-VERIFICATION</t>
  </si>
  <si>
    <t>ADA safety verified in creative and non-creative modes</t>
  </si>
  <si>
    <t>Verification pending</t>
  </si>
  <si>
    <t>Create validation checklist</t>
  </si>
  <si>
    <t>Template Needed</t>
  </si>
  <si>
    <t>Evidence Missing</t>
  </si>
  <si>
    <t>Generate in Word</t>
  </si>
  <si>
    <t>No</t>
  </si>
  <si>
    <t>📝 WORD TEMPLATES TO GENERATE</t>
  </si>
  <si>
    <t>Gate ID</t>
  </si>
  <si>
    <t>Gate Name</t>
  </si>
  <si>
    <t>Owner</t>
  </si>
  <si>
    <t>📊 WORK TYPE SUMMARY</t>
  </si>
  <si>
    <t>Work Type</t>
  </si>
  <si>
    <t>Count</t>
  </si>
  <si>
    <t>Excel Work (Evidence Missing)</t>
  </si>
  <si>
    <t>Word Work (Generate in Word)</t>
  </si>
  <si>
    <t>Pending Status Items</t>
  </si>
  <si>
    <t>In Progress Items</t>
  </si>
  <si>
    <t>🎨 STATUS COLOR LEGEND</t>
  </si>
  <si>
    <t>⬜ Pending</t>
  </si>
  <si>
    <t>Needs attention - Red</t>
  </si>
  <si>
    <t>⬜ In Progress</t>
  </si>
  <si>
    <t>Work ongoing - Yellow</t>
  </si>
  <si>
    <t>⬜ Complete</t>
  </si>
  <si>
    <t>Done - Green</t>
  </si>
  <si>
    <t>⬜ Generate in Word = Yes</t>
  </si>
  <si>
    <t>Needs Word doc - Blue</t>
  </si>
  <si>
    <t>💡 TIP: Set 'Generate in Word' to 'Yes' for items that need Word documentation. The summary table above will automatically list those items with their required templates.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</si>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</sst>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sz val="11"/>
      <color rgb="FF1F4E79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8B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7" fillId="33" borderId="0" xfId="0" applyFont="1" applyFill="1"/>
    <xf numFmtId="0" fontId="8" fillId="34" borderId="0" xfId="0" applyFont="1" applyFill="1"/>
    <xf numFmtId="0" fontId="18" fillId="0" borderId="0" xfId="0" applyFont="1"/>
    <xf numFmtId="0" fontId="16" fillId="35" borderId="0" xfId="0" applyFont="1" applyFill="1"/>
    <xf numFmtId="0" fontId="16" fillId="36" borderId="0" xfId="0" applyFont="1" applyFill="1"/>
    <xf numFmtId="0" fontId="19" fillId="0" borderId="0" xfId="0" applyFont="1"/>
    <xf numFmtId="0" fontId="6" fillId="37" borderId="0" xfId="0" applyFont="1" applyFill="1"/>
    <xf numFmtId="0" fontId="20" fillId="35" borderId="0" xfId="0" applyFont="1" applyFill="1"/>
    <xf numFmtId="0" fontId="21" fillId="0" borderId="0" xfId="0" applyFont="1"/>
    <xf numFmtId="0" fontId="22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1707E-BA2C-4CE8-9C42-B8944DAB4DFE}" name="Phase2ProjectTracker" displayName="Phase2ProjectTracker" ref="A1:J13" totalsRowShown="0" headerRowDxfId="8">
  <autoFilter ref="A1:J13" xr:uid="{8DC1707E-BA2C-4CE8-9C42-B8944DAB4DFE}"/>
  <tableColumns count="10">
    <tableColumn id="1" xr3:uid="{85262143-207D-4801-815C-748F4BDA114B}" name="gate_id"/>
    <tableColumn id="2" xr3:uid="{7AC73C0A-458F-4D37-BFB4-9096D25F1AD2}" name="gate_name"/>
    <tableColumn id="3" xr3:uid="{E1249CAE-FE9E-4E78-BFF5-7A7EC93A39A9}" name="status"/>
    <tableColumn id="4" xr3:uid="{EA9B5DBD-2167-4349-8837-5654F737A655}" name="evidence_file"/>
    <tableColumn id="5" xr3:uid="{34EC55CA-2F07-482B-A94B-DCD8B841DF1B}" name="evidence_note"/>
    <tableColumn id="6" xr3:uid="{396F66E2-A3F7-427C-82EE-4C430A0B4025}" name="owner"/>
    <tableColumn id="7" xr3:uid="{BBFA2A5F-6164-4DB8-94F5-48B7356BDA17}" name="next_action"/>
    <tableColumn id="8" xr3:uid="{015EB595-A8B6-41A1-AC3B-FC9909D25F31}" name="Template Needed">
      <calculatedColumnFormula>IF(ISNUMBER(SEARCH("architecture",B2)),"Architecture Review Template",IF(ISNUMBER(SEARCH("spec",B2)),"Spec Reconciliation Template",IF(ISNUMBER(SEARCH("conditioning",B2)),"Conditioning Plan Template",IF(ISNUMBER(SEARCH("persona",B2)),"Persona Template",IF(ISNUMBER(SEARCH("creativity",B2)),"Creativity Template",IF(ISNUMBER(SEARCH("safety",B2)),"Safety Template",IF(ISNUMBER(SEARCH("accessibility",B2)),"Accessibility Template","General Template")))))))</calculatedColumnFormula>
    </tableColumn>
    <tableColumn id="9" xr3:uid="{EE0640C9-04F3-4AA4-9A72-A2F1FD880F57}" name="Evidence Missing">
      <calculatedColumnFormula>OR(TRIM(D2)="",C2="Pending")</calculatedColumnFormula>
    </tableColumn>
    <tableColumn id="10" xr3:uid="{26974418-F179-4E08-9C87-299338C47AC8}" name="Generate in Wor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CC0E-CB23-4733-AE81-E3582D94CE3E}">
  <dimension ref="A1:J31"/>
  <sheetViews>
    <sheetView tabSelected="1" workbookViewId="0"/>
  </sheetViews>
  <sheetFormatPr defaultRowHeight="15" x14ac:dyDescent="0.25"/>
  <cols>
    <col min="1" max="1" width="151.85546875" bestFit="1" customWidth="1"/>
    <col min="2" max="2" width="49.42578125" bestFit="1" customWidth="1"/>
    <col min="3" max="3" width="17.28515625" bestFit="1" customWidth="1"/>
    <col min="4" max="4" width="57.140625" bestFit="1" customWidth="1"/>
    <col min="5" max="5" width="40.28515625" bestFit="1" customWidth="1"/>
    <col min="6" max="6" width="31.7109375" bestFit="1" customWidth="1"/>
    <col min="7" max="7" width="46.7109375" bestFit="1" customWidth="1"/>
    <col min="8" max="8" width="19.5703125" bestFit="1" customWidth="1"/>
    <col min="9" max="9" width="19" bestFit="1" customWidth="1"/>
    <col min="10" max="10" width="19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63</v>
      </c>
      <c r="I1" s="1" t="s">
        <v>64</v>
      </c>
      <c r="J1" s="1" t="s">
        <v>65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</v>
      </c>
      <c r="G2" t="s">
        <v>12</v>
      </c>
      <c r="H2" t="str">
        <f>IF(ISNUMBER(SEARCH("architecture",B2)),"Architecture Review Template",IF(ISNUMBER(SEARCH("spec",B2)),"Spec Reconciliation Template",IF(ISNUMBER(SEARCH("conditioning",B2)),"Conditioning Plan Template",IF(ISNUMBER(SEARCH("persona",B2)),"Persona Template",IF(ISNUMBER(SEARCH("creativity",B2)),"Creativity Template",IF(ISNUMBER(SEARCH("safety",B2)),"Safety Template",IF(ISNUMBER(SEARCH("accessibility",B2)),"Accessibility Template","General Template")))))))</f>
        <v>General Template</v>
      </c>
      <c r="I2" t="b">
        <f>OR(TRIM(D2)="",C2="Pending")</f>
        <v>1</v>
      </c>
      <c r="J2" t="s">
        <v>66</v>
      </c>
    </row>
    <row r="3" spans="1:10" x14ac:dyDescent="0.25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5</v>
      </c>
      <c r="G3" t="s">
        <v>17</v>
      </c>
      <c r="H3" t="str">
        <f t="shared" ref="H3:H13" si="0">IF(ISNUMBER(SEARCH("architecture",B3)),"Architecture Review Template",IF(ISNUMBER(SEARCH("spec",B3)),"Spec Reconciliation Template",IF(ISNUMBER(SEARCH("conditioning",B3)),"Conditioning Plan Template",IF(ISNUMBER(SEARCH("persona",B3)),"Persona Template",IF(ISNUMBER(SEARCH("creativity",B3)),"Creativity Template",IF(ISNUMBER(SEARCH("safety",B3)),"Safety Template",IF(ISNUMBER(SEARCH("accessibility",B3)),"Accessibility Template","General Template")))))))</f>
        <v>General Template</v>
      </c>
      <c r="I3" t="b">
        <f t="shared" ref="I3:I13" si="1">OR(TRIM(D3)="",C3="Pending")</f>
        <v>1</v>
      </c>
      <c r="J3" t="s">
        <v>66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5</v>
      </c>
      <c r="G4" t="s">
        <v>23</v>
      </c>
      <c r="H4" t="str">
        <f t="shared" si="0"/>
        <v>General Template</v>
      </c>
      <c r="I4" t="b">
        <f t="shared" si="1"/>
        <v>0</v>
      </c>
      <c r="J4" t="s">
        <v>66</v>
      </c>
    </row>
    <row r="5" spans="1:10" x14ac:dyDescent="0.25">
      <c r="A5" t="s">
        <v>24</v>
      </c>
      <c r="B5" t="s">
        <v>25</v>
      </c>
      <c r="C5" t="s">
        <v>20</v>
      </c>
      <c r="D5" t="s">
        <v>21</v>
      </c>
      <c r="E5" t="s">
        <v>26</v>
      </c>
      <c r="F5" t="s">
        <v>5</v>
      </c>
      <c r="G5" t="s">
        <v>27</v>
      </c>
      <c r="H5" t="str">
        <f t="shared" si="0"/>
        <v>General Template</v>
      </c>
      <c r="I5" t="b">
        <f t="shared" si="1"/>
        <v>0</v>
      </c>
      <c r="J5" t="s">
        <v>66</v>
      </c>
    </row>
    <row r="6" spans="1:10" x14ac:dyDescent="0.25">
      <c r="A6" t="s">
        <v>28</v>
      </c>
      <c r="B6" t="s">
        <v>29</v>
      </c>
      <c r="C6" t="s">
        <v>9</v>
      </c>
      <c r="D6" t="s">
        <v>30</v>
      </c>
      <c r="E6" t="s">
        <v>31</v>
      </c>
      <c r="F6" t="s">
        <v>5</v>
      </c>
      <c r="G6" t="s">
        <v>32</v>
      </c>
      <c r="H6" t="str">
        <f t="shared" si="0"/>
        <v>Persona Template</v>
      </c>
      <c r="I6" t="b">
        <f t="shared" si="1"/>
        <v>1</v>
      </c>
      <c r="J6" t="s">
        <v>66</v>
      </c>
    </row>
    <row r="7" spans="1:10" x14ac:dyDescent="0.25">
      <c r="A7" t="s">
        <v>33</v>
      </c>
      <c r="B7" t="s">
        <v>34</v>
      </c>
      <c r="C7" t="s">
        <v>20</v>
      </c>
      <c r="D7" t="s">
        <v>21</v>
      </c>
      <c r="E7" t="s">
        <v>35</v>
      </c>
      <c r="F7" t="s">
        <v>5</v>
      </c>
      <c r="G7" t="s">
        <v>36</v>
      </c>
      <c r="H7" t="str">
        <f t="shared" si="0"/>
        <v>General Template</v>
      </c>
      <c r="I7" t="b">
        <f t="shared" si="1"/>
        <v>0</v>
      </c>
      <c r="J7" t="s">
        <v>66</v>
      </c>
    </row>
    <row r="8" spans="1:10" x14ac:dyDescent="0.25">
      <c r="A8" t="s">
        <v>37</v>
      </c>
      <c r="B8" t="s">
        <v>38</v>
      </c>
      <c r="C8" t="s">
        <v>9</v>
      </c>
      <c r="D8" t="s">
        <v>30</v>
      </c>
      <c r="E8" t="s">
        <v>39</v>
      </c>
      <c r="F8" t="s">
        <v>5</v>
      </c>
      <c r="G8" t="s">
        <v>40</v>
      </c>
      <c r="H8" t="str">
        <f t="shared" si="0"/>
        <v>General Template</v>
      </c>
      <c r="I8" t="b">
        <f t="shared" si="1"/>
        <v>1</v>
      </c>
      <c r="J8" t="s">
        <v>66</v>
      </c>
    </row>
    <row r="9" spans="1:10" x14ac:dyDescent="0.25">
      <c r="A9" t="s">
        <v>41</v>
      </c>
      <c r="B9" t="s">
        <v>42</v>
      </c>
      <c r="C9" t="s">
        <v>9</v>
      </c>
      <c r="D9" t="s">
        <v>43</v>
      </c>
      <c r="E9" t="s">
        <v>44</v>
      </c>
      <c r="F9" t="s">
        <v>5</v>
      </c>
      <c r="G9" t="s">
        <v>45</v>
      </c>
      <c r="H9" t="str">
        <f t="shared" si="0"/>
        <v>General Template</v>
      </c>
      <c r="I9" t="b">
        <f t="shared" si="1"/>
        <v>1</v>
      </c>
      <c r="J9" t="s">
        <v>88</v>
      </c>
    </row>
    <row r="10" spans="1:10" x14ac:dyDescent="0.25">
      <c r="A10" t="s">
        <v>46</v>
      </c>
      <c r="B10" t="s">
        <v>47</v>
      </c>
      <c r="C10" t="s">
        <v>9</v>
      </c>
      <c r="D10" t="s">
        <v>30</v>
      </c>
      <c r="E10" t="s">
        <v>48</v>
      </c>
      <c r="F10" t="s">
        <v>5</v>
      </c>
      <c r="G10" t="s">
        <v>49</v>
      </c>
      <c r="H10" t="str">
        <f t="shared" si="0"/>
        <v>Creativity Template</v>
      </c>
      <c r="I10" t="b">
        <f t="shared" si="1"/>
        <v>1</v>
      </c>
      <c r="J10" t="s">
        <v>66</v>
      </c>
    </row>
    <row r="11" spans="1:10" x14ac:dyDescent="0.25">
      <c r="A11" t="s">
        <v>50</v>
      </c>
      <c r="B11" t="s">
        <v>51</v>
      </c>
      <c r="C11" t="s">
        <v>9</v>
      </c>
      <c r="D11" t="s">
        <v>30</v>
      </c>
      <c r="E11" t="s">
        <v>52</v>
      </c>
      <c r="F11" t="s">
        <v>5</v>
      </c>
      <c r="G11" t="s">
        <v>53</v>
      </c>
      <c r="H11" t="str">
        <f t="shared" si="0"/>
        <v>General Template</v>
      </c>
      <c r="I11" t="b">
        <f t="shared" si="1"/>
        <v>1</v>
      </c>
      <c r="J11" t="s">
        <v>66</v>
      </c>
    </row>
    <row r="12" spans="1:10" x14ac:dyDescent="0.25">
      <c r="A12" t="s">
        <v>54</v>
      </c>
      <c r="B12" t="s">
        <v>55</v>
      </c>
      <c r="C12" t="s">
        <v>9</v>
      </c>
      <c r="D12" t="s">
        <v>56</v>
      </c>
      <c r="E12" t="s">
        <v>57</v>
      </c>
      <c r="F12" t="s">
        <v>5</v>
      </c>
      <c r="G12" t="s">
        <v>58</v>
      </c>
      <c r="H12" t="str">
        <f t="shared" si="0"/>
        <v>Creativity Template</v>
      </c>
      <c r="I12" t="b">
        <f t="shared" si="1"/>
        <v>1</v>
      </c>
      <c r="J12" t="s">
        <v>88</v>
      </c>
    </row>
    <row r="13" spans="1:10" x14ac:dyDescent="0.25">
      <c r="A13" t="s">
        <v>59</v>
      </c>
      <c r="B13" t="s">
        <v>60</v>
      </c>
      <c r="C13" t="s">
        <v>9</v>
      </c>
      <c r="D13" t="s">
        <v>30</v>
      </c>
      <c r="E13" t="s">
        <v>61</v>
      </c>
      <c r="F13" t="s">
        <v>5</v>
      </c>
      <c r="G13" t="s">
        <v>62</v>
      </c>
      <c r="H13" t="str">
        <f t="shared" si="0"/>
        <v>Safety Template</v>
      </c>
      <c r="I13" t="b">
        <f t="shared" si="1"/>
        <v>1</v>
      </c>
      <c r="J13" t="s">
        <v>66</v>
      </c>
    </row>
    <row r="16" spans="1:10" ht="18.75" x14ac:dyDescent="0.3">
      <c r="A16" s="4" t="s">
        <v>67</v>
      </c>
      <c r="F16" s="4" t="s">
        <v>71</v>
      </c>
    </row>
    <row r="17" spans="1:7" x14ac:dyDescent="0.25">
      <c r="A17" s="5" t="s">
        <v>68</v>
      </c>
      <c r="B17" s="5" t="s">
        <v>69</v>
      </c>
      <c r="C17" s="5" t="s">
        <v>63</v>
      </c>
      <c r="D17" s="5" t="s">
        <v>70</v>
      </c>
      <c r="F17" s="6" t="s">
        <v>72</v>
      </c>
      <c r="G17" s="6" t="s">
        <v>73</v>
      </c>
    </row>
    <row r="18" spans="1:7" x14ac:dyDescent="0.25">
      <c r="A18" s="11" t="str" cm="1">
        <f t="array" ref="A18">IFERROR(INDEX(A$2:A$13,_xlfn.AGGREGATE(15,6,ROW($1:$12)/($J$2:$J$13="Yes"),1)),"")</f>
        <v>P2-ARTIFACT-ALIGNMENT</v>
      </c>
      <c r="B18" t="str" cm="1">
        <f t="array" ref="B18">IFERROR(INDEX(B$2:B$13,_xlfn.AGGREGATE(15,6,ROW($1:$12)/($J$2:$J$13="Yes"),1)),"")</f>
        <v>Frozen artifact set only</v>
      </c>
      <c r="C18" t="str" cm="1">
        <f t="array" ref="C18">IFERROR(INDEX(H$2:H$13,_xlfn.AGGREGATE(15,6,ROW($1:$12)/($J$2:$J$13="Yes"),1)),"")</f>
        <v>General Template</v>
      </c>
      <c r="D18" t="str" cm="1">
        <f t="array" ref="D18">IFERROR(INDEX(F$2:F$13,_xlfn.AGGREGATE(15,6,ROW($1:$12)/($J$2:$J$13="Yes"),1)),"")</f>
        <v>owner</v>
      </c>
      <c r="F18" t="s">
        <v>74</v>
      </c>
      <c r="G18">
        <f>COUNTIF(I2:I13,TRUE)</f>
        <v>9</v>
      </c>
    </row>
    <row r="19" spans="1:7" x14ac:dyDescent="0.25">
      <c r="A19" s="11" t="str" cm="1">
        <f t="array" ref="A19">IFERROR(INDEX(A$2:A$13,_xlfn.AGGREGATE(15,6,ROW($1:$12)/($J$2:$J$13="Yes"),2)),"")</f>
        <v>P2-CREATIVITY-ROUTE-GATE-OSH-INTEGRITY</v>
      </c>
      <c r="B19" t="str" cm="1">
        <f t="array" ref="B19">IFERROR(INDEX(B$2:B$13,_xlfn.AGGREGATE(15,6,ROW($1:$12)/($J$2:$J$13="Yes"),2)),"")</f>
        <v>Creativity remains routed/gated/OSH-safe</v>
      </c>
      <c r="C19" t="str" cm="1">
        <f t="array" ref="C19">IFERROR(INDEX(H$2:H$13,_xlfn.AGGREGATE(15,6,ROW($1:$12)/($J$2:$J$13="Yes"),2)),"")</f>
        <v>Creativity Template</v>
      </c>
      <c r="D19" t="str" cm="1">
        <f t="array" ref="D19">IFERROR(INDEX(F$2:F$13,_xlfn.AGGREGATE(15,6,ROW($1:$12)/($J$2:$J$13="Yes"),2)),"")</f>
        <v>owner</v>
      </c>
      <c r="F19" t="s">
        <v>75</v>
      </c>
      <c r="G19">
        <f>COUNTIF(J2:J13,"Yes")</f>
        <v>2</v>
      </c>
    </row>
    <row r="20" spans="1:7" x14ac:dyDescent="0.25">
      <c r="A20" t="str" cm="1">
        <f t="array" ref="A20">IFERROR(INDEX(A$2:A$13,_xlfn.AGGREGATE(15,6,ROW($1:$12)/($J$2:$J$13="Yes"),3)),"")</f>
        <v/>
      </c>
      <c r="B20" t="str" cm="1">
        <f t="array" ref="B20">IFERROR(INDEX(B$2:B$13,_xlfn.AGGREGATE(15,6,ROW($1:$12)/($J$2:$J$13="Yes"),3)),"")</f>
        <v/>
      </c>
      <c r="C20" t="str" cm="1">
        <f t="array" ref="C20">IFERROR(INDEX(H$2:H$13,_xlfn.AGGREGATE(15,6,ROW($1:$12)/($J$2:$J$13="Yes"),3)),"")</f>
        <v/>
      </c>
      <c r="D20" t="str" cm="1">
        <f t="array" ref="D20">IFERROR(INDEX(F$2:F$13,_xlfn.AGGREGATE(15,6,ROW($1:$12)/($J$2:$J$13="Yes"),3)),"")</f>
        <v/>
      </c>
      <c r="F20" t="s">
        <v>76</v>
      </c>
      <c r="G20">
        <f>COUNTIF(C2:C13,"Pending")</f>
        <v>9</v>
      </c>
    </row>
    <row r="21" spans="1:7" x14ac:dyDescent="0.25">
      <c r="A21" t="str" cm="1">
        <f t="array" ref="A21">IFERROR(INDEX(A$2:A$13,_xlfn.AGGREGATE(15,6,ROW($1:$12)/($J$2:$J$13="Yes"),4)),"")</f>
        <v/>
      </c>
      <c r="B21" t="str" cm="1">
        <f t="array" ref="B21">IFERROR(INDEX(B$2:B$13,_xlfn.AGGREGATE(15,6,ROW($1:$12)/($J$2:$J$13="Yes"),4)),"")</f>
        <v/>
      </c>
      <c r="C21" t="str" cm="1">
        <f t="array" ref="C21">IFERROR(INDEX(H$2:H$13,_xlfn.AGGREGATE(15,6,ROW($1:$12)/($J$2:$J$13="Yes"),4)),"")</f>
        <v/>
      </c>
      <c r="D21" t="str" cm="1">
        <f t="array" ref="D21">IFERROR(INDEX(F$2:F$13,_xlfn.AGGREGATE(15,6,ROW($1:$12)/($J$2:$J$13="Yes"),4)),"")</f>
        <v/>
      </c>
      <c r="F21" t="s">
        <v>77</v>
      </c>
      <c r="G21">
        <f>COUNTIF(C2:C13,"In Progress")</f>
        <v>3</v>
      </c>
    </row>
    <row r="22" spans="1:7" x14ac:dyDescent="0.25">
      <c r="A22" t="str" cm="1">
        <f t="array" ref="A22">IFERROR(INDEX(A$2:A$13,_xlfn.AGGREGATE(15,6,ROW($1:$12)/($J$2:$J$13="Yes"),5)),"")</f>
        <v/>
      </c>
      <c r="B22" t="str" cm="1">
        <f t="array" ref="B22">IFERROR(INDEX(B$2:B$13,_xlfn.AGGREGATE(15,6,ROW($1:$12)/($J$2:$J$13="Yes"),5)),"")</f>
        <v/>
      </c>
      <c r="C22" t="str" cm="1">
        <f t="array" ref="C22">IFERROR(INDEX(H$2:H$13,_xlfn.AGGREGATE(15,6,ROW($1:$12)/($J$2:$J$13="Yes"),5)),"")</f>
        <v/>
      </c>
      <c r="D22" t="str" cm="1">
        <f t="array" ref="D22">IFERROR(INDEX(F$2:F$13,_xlfn.AGGREGATE(15,6,ROW($1:$12)/($J$2:$J$13="Yes"),5)),"")</f>
        <v/>
      </c>
    </row>
    <row r="23" spans="1:7" ht="15.75" x14ac:dyDescent="0.25">
      <c r="A23" t="str" cm="1">
        <f t="array" ref="A23">IFERROR(INDEX(A$2:A$13,_xlfn.AGGREGATE(15,6,ROW($1:$12)/($J$2:$J$13="Yes"),6)),"")</f>
        <v/>
      </c>
      <c r="B23" t="str" cm="1">
        <f t="array" ref="B23">IFERROR(INDEX(B$2:B$13,_xlfn.AGGREGATE(15,6,ROW($1:$12)/($J$2:$J$13="Yes"),6)),"")</f>
        <v/>
      </c>
      <c r="C23" t="str" cm="1">
        <f t="array" ref="C23">IFERROR(INDEX(H$2:H$13,_xlfn.AGGREGATE(15,6,ROW($1:$12)/($J$2:$J$13="Yes"),6)),"")</f>
        <v/>
      </c>
      <c r="D23" t="str" cm="1">
        <f t="array" ref="D23">IFERROR(INDEX(F$2:F$13,_xlfn.AGGREGATE(15,6,ROW($1:$12)/($J$2:$J$13="Yes"),6)),"")</f>
        <v/>
      </c>
      <c r="F23" s="7" t="s">
        <v>78</v>
      </c>
    </row>
    <row r="24" spans="1:7" x14ac:dyDescent="0.25">
      <c r="A24" t="str" cm="1">
        <f t="array" ref="A24">IFERROR(INDEX(A$2:A$13,_xlfn.AGGREGATE(15,6,ROW($1:$12)/($J$2:$J$13="Yes"),7)),"")</f>
        <v/>
      </c>
      <c r="B24" t="str" cm="1">
        <f t="array" ref="B24">IFERROR(INDEX(B$2:B$13,_xlfn.AGGREGATE(15,6,ROW($1:$12)/($J$2:$J$13="Yes"),7)),"")</f>
        <v/>
      </c>
      <c r="C24" t="str" cm="1">
        <f t="array" ref="C24">IFERROR(INDEX(H$2:H$13,_xlfn.AGGREGATE(15,6,ROW($1:$12)/($J$2:$J$13="Yes"),7)),"")</f>
        <v/>
      </c>
      <c r="D24" t="str" cm="1">
        <f t="array" ref="D24">IFERROR(INDEX(F$2:F$13,_xlfn.AGGREGATE(15,6,ROW($1:$12)/($J$2:$J$13="Yes"),7)),"")</f>
        <v/>
      </c>
      <c r="F24" s="2" t="s">
        <v>79</v>
      </c>
      <c r="G24" t="s">
        <v>80</v>
      </c>
    </row>
    <row r="25" spans="1:7" x14ac:dyDescent="0.25">
      <c r="A25" t="str" cm="1">
        <f t="array" ref="A25">IFERROR(INDEX(A$2:A$13,_xlfn.AGGREGATE(15,6,ROW($1:$12)/($J$2:$J$13="Yes"),8)),"")</f>
        <v/>
      </c>
      <c r="B25" t="str" cm="1">
        <f t="array" ref="B25">IFERROR(INDEX(B$2:B$13,_xlfn.AGGREGATE(15,6,ROW($1:$12)/($J$2:$J$13="Yes"),8)),"")</f>
        <v/>
      </c>
      <c r="C25" t="str" cm="1">
        <f t="array" ref="C25">IFERROR(INDEX(H$2:H$13,_xlfn.AGGREGATE(15,6,ROW($1:$12)/($J$2:$J$13="Yes"),8)),"")</f>
        <v/>
      </c>
      <c r="D25" t="str" cm="1">
        <f t="array" ref="D25">IFERROR(INDEX(F$2:F$13,_xlfn.AGGREGATE(15,6,ROW($1:$12)/($J$2:$J$13="Yes"),8)),"")</f>
        <v/>
      </c>
      <c r="F25" s="3" t="s">
        <v>81</v>
      </c>
      <c r="G25" t="s">
        <v>82</v>
      </c>
    </row>
    <row r="26" spans="1:7" x14ac:dyDescent="0.25">
      <c r="A26" t="str" cm="1">
        <f t="array" ref="A26">IFERROR(INDEX(A$2:A$13,_xlfn.AGGREGATE(15,6,ROW($1:$12)/($J$2:$J$13="Yes"),9)),"")</f>
        <v/>
      </c>
      <c r="B26" t="str" cm="1">
        <f t="array" ref="B26">IFERROR(INDEX(B$2:B$13,_xlfn.AGGREGATE(15,6,ROW($1:$12)/($J$2:$J$13="Yes"),9)),"")</f>
        <v/>
      </c>
      <c r="C26" t="str" cm="1">
        <f t="array" ref="C26">IFERROR(INDEX(H$2:H$13,_xlfn.AGGREGATE(15,6,ROW($1:$12)/($J$2:$J$13="Yes"),9)),"")</f>
        <v/>
      </c>
      <c r="D26" t="str" cm="1">
        <f t="array" ref="D26">IFERROR(INDEX(F$2:F$13,_xlfn.AGGREGATE(15,6,ROW($1:$12)/($J$2:$J$13="Yes"),9)),"")</f>
        <v/>
      </c>
      <c r="F26" s="8" t="s">
        <v>83</v>
      </c>
      <c r="G26" t="s">
        <v>84</v>
      </c>
    </row>
    <row r="27" spans="1:7" x14ac:dyDescent="0.25">
      <c r="A27" t="str" cm="1">
        <f t="array" ref="A27">IFERROR(INDEX(A$2:A$13,_xlfn.AGGREGATE(15,6,ROW($1:$12)/($J$2:$J$13="Yes"),10)),"")</f>
        <v/>
      </c>
      <c r="B27" t="str" cm="1">
        <f t="array" ref="B27">IFERROR(INDEX(B$2:B$13,_xlfn.AGGREGATE(15,6,ROW($1:$12)/($J$2:$J$13="Yes"),10)),"")</f>
        <v/>
      </c>
      <c r="C27" t="str" cm="1">
        <f t="array" ref="C27">IFERROR(INDEX(H$2:H$13,_xlfn.AGGREGATE(15,6,ROW($1:$12)/($J$2:$J$13="Yes"),10)),"")</f>
        <v/>
      </c>
      <c r="D27" t="str" cm="1">
        <f t="array" ref="D27">IFERROR(INDEX(F$2:F$13,_xlfn.AGGREGATE(15,6,ROW($1:$12)/($J$2:$J$13="Yes"),10)),"")</f>
        <v/>
      </c>
      <c r="F27" s="9" t="s">
        <v>85</v>
      </c>
      <c r="G27" t="s">
        <v>86</v>
      </c>
    </row>
    <row r="28" spans="1:7" x14ac:dyDescent="0.25">
      <c r="A28" t="str" cm="1">
        <f t="array" ref="A28">IFERROR(INDEX(A$2:A$13,_xlfn.AGGREGATE(15,6,ROW($1:$12)/($J$2:$J$13="Yes"),11)),"")</f>
        <v/>
      </c>
      <c r="B28" t="str" cm="1">
        <f t="array" ref="B28">IFERROR(INDEX(B$2:B$13,_xlfn.AGGREGATE(15,6,ROW($1:$12)/($J$2:$J$13="Yes"),11)),"")</f>
        <v/>
      </c>
      <c r="C28" t="str" cm="1">
        <f t="array" ref="C28">IFERROR(INDEX(H$2:H$13,_xlfn.AGGREGATE(15,6,ROW($1:$12)/($J$2:$J$13="Yes"),11)),"")</f>
        <v/>
      </c>
      <c r="D28" t="str" cm="1">
        <f t="array" ref="D28">IFERROR(INDEX(F$2:F$13,_xlfn.AGGREGATE(15,6,ROW($1:$12)/($J$2:$J$13="Yes"),11)),"")</f>
        <v/>
      </c>
    </row>
    <row r="29" spans="1:7" x14ac:dyDescent="0.25">
      <c r="A29" t="str" cm="1">
        <f t="array" ref="A29">IFERROR(INDEX(A$2:A$13,_xlfn.AGGREGATE(15,6,ROW($1:$12)/($J$2:$J$13="Yes"),12)),"")</f>
        <v/>
      </c>
      <c r="B29" t="str" cm="1">
        <f t="array" ref="B29">IFERROR(INDEX(B$2:B$13,_xlfn.AGGREGATE(15,6,ROW($1:$12)/($J$2:$J$13="Yes"),12)),"")</f>
        <v/>
      </c>
      <c r="C29" t="str" cm="1">
        <f t="array" ref="C29">IFERROR(INDEX(H$2:H$13,_xlfn.AGGREGATE(15,6,ROW($1:$12)/($J$2:$J$13="Yes"),12)),"")</f>
        <v/>
      </c>
      <c r="D29" t="str" cm="1">
        <f t="array" ref="D29">IFERROR(INDEX(F$2:F$13,_xlfn.AGGREGATE(15,6,ROW($1:$12)/($J$2:$J$13="Yes"),12)),"")</f>
        <v/>
      </c>
    </row>
    <row r="31" spans="1:7" x14ac:dyDescent="0.25">
      <c r="A31" s="10" t="s">
        <v>87</v>
      </c>
    </row>
  </sheetData>
  <conditionalFormatting sqref="C2:C13">
    <cfRule type="containsText" dxfId="7" priority="1" operator="containsText" text="Pending">
      <formula>NOT(ISERROR(SEARCH("Pending",C2)))</formula>
    </cfRule>
  </conditionalFormatting>
  <conditionalFormatting sqref="C2:C13">
    <cfRule type="containsText" dxfId="6" priority="2" operator="containsText" text="In Progress">
      <formula>NOT(ISERROR(SEARCH("In Progress",C2)))</formula>
    </cfRule>
  </conditionalFormatting>
  <conditionalFormatting sqref="C2:C13">
    <cfRule type="containsText" dxfId="5" priority="3" operator="containsText" text="Complete">
      <formula>NOT(ISERROR(SEARCH("Complete",C2)))</formula>
    </cfRule>
  </conditionalFormatting>
  <conditionalFormatting sqref="I2:I13">
    <cfRule type="containsText" dxfId="4" priority="4" operator="containsText" text="TRUE">
      <formula>NOT(ISERROR(SEARCH("TRUE",I2)))</formula>
    </cfRule>
  </conditionalFormatting>
  <conditionalFormatting sqref="J2:J13">
    <cfRule type="containsText" dxfId="3" priority="5" operator="containsText" text="Yes">
      <formula>NOT(ISERROR(SEARCH("Yes",J2)))</formula>
    </cfRule>
  </conditionalFormatting>
  <conditionalFormatting sqref="A2:A13">
    <cfRule type="expression" dxfId="2" priority="6">
      <formula>$C2="Complete"</formula>
    </cfRule>
  </conditionalFormatting>
  <conditionalFormatting sqref="A2:A13">
    <cfRule type="expression" dxfId="1" priority="7">
      <formula>$C2="In Progress"</formula>
    </cfRule>
  </conditionalFormatting>
  <conditionalFormatting sqref="A2:A13">
    <cfRule type="expression" dxfId="0" priority="8">
      <formula>$C2="Pending"</formula>
    </cfRule>
  </conditionalFormatting>
  <dataValidations count="1">
    <dataValidation type="list" allowBlank="1" showInputMessage="1" showErrorMessage="1" sqref="J2:J13" xr:uid="{612C8486-6001-483A-B3D1-783E4698121E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phase2_gate_checklist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Bucey</cp:lastModifiedBy>
  <dcterms:created xsi:type="dcterms:W3CDTF">2026-04-14T18:04:33Z</dcterms:created>
  <dcterms:modified xsi:type="dcterms:W3CDTF">2026-04-14T18:15:57Z</dcterms:modified>
</cp:coreProperties>
</file>